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ibration" sheetId="1" state="visible" r:id="rId3"/>
    <sheet name="CSV Export" sheetId="2" state="visible" r:id="rId4"/>
    <sheet name="Protoco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<sst xmlns="http://schemas.openxmlformats.org/spreadsheetml/2006/main" count="43" uniqueCount="43">
  <si>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Pump Calibration (bucket test)</t>
  </si>
  <si>
    <t xml:space="preserve">Blue cells = your inputs. Everything else computes automatically. Full protocol: docs/reference/pump-extrusion.md (or 'Protocol' sheet).</t>
  </si>
  <si>
    <t xml:space="preserve">Pump</t>
  </si>
  <si>
    <t xml:space="preserve"/>
  </si>
  <si>
    <t xml:space="preserve">Material / mix</t>
  </si>
  <si>
    <t xml:space="preserve">Date</t>
  </si>
  <si>
    <t xml:space="preserve">Operator</t>
  </si>
  <si>
    <t xml:space="preserve">Hose length [m]</t>
  </si>
  <si>
    <t xml:space="preserve">Notes</t>
  </si>
  <si>
    <t xml:space="preserve">Fresh density (1-litre cup, struck off)</t>
  </si>
  <si>
    <t xml:space="preserve">Cup volume [l]</t>
  </si>
  <si>
    <t xml:space="preserve">Cup mass empty [kg]</t>
  </si>
  <si>
    <t xml:space="preserve">Cup mass filled [kg]</t>
  </si>
  <si>
    <t xml:space="preserve">Fresh density ρ [kg/l]</t>
  </si>
  <si>
    <t xml:space="preserve">Measurements (pump into tared bucket, ~60 s per setting, ascending settings)</t>
  </si>
  <si>
    <t xml:space="preserve">Setting [V]</t>
  </si>
  <si>
    <t xml:space="preserve">Bucket tare [kg]</t>
  </si>
  <si>
    <t xml:space="preserve">Bucket + mortar [kg]</t>
  </si>
  <si>
    <t xml:space="preserve">Time [s]</t>
  </si>
  <si>
    <t xml:space="preserve">Net mass [kg]</t>
  </si>
  <si>
    <t xml:space="preserve">Flow [l/min]</t>
  </si>
  <si>
    <t xml:space="preserve">Check</t>
  </si>
  <si>
    <t xml:space="preserve">Table status</t>
  </si>
  <si>
    <t xml:space="preserve">Points measured</t>
  </si>
  <si>
    <t xml:space="preserve">Valid for the slicer (≥2 pts, flow strictly increasing)</t>
  </si>
  <si>
    <t xml:space="preserve">Calibrated flow range [l/min]</t>
  </si>
  <si>
    <t xml:space="preserve">Find pump setting for a required flow</t>
  </si>
  <si>
    <t xml:space="preserve">Q required [l/min]</t>
  </si>
  <si>
    <t xml:space="preserve">segment →</t>
  </si>
  <si>
    <t xml:space="preserve">Recommended setting [V]</t>
  </si>
  <si>
    <t xml:space="preserve">Same rule as the slicer (PumpModel.SettingForFlow): linear between measured points, never extrapolates.</t>
  </si>
  <si>
    <t xml:space="preserve">Copy the block below (A3 down) into your calibration .csv — decimals are already invariant ('.')</t>
  </si>
  <si>
    <t xml:space="preserve">Bucket-test protocol (~15 min) — docs/reference/pump-extrusion.md</t>
  </si>
  <si>
    <t xml:space="preserve">1.  Mix the material exactly as for printing. Prime pump + hose until the flow is steady.</t>
  </si>
  <si>
    <t xml:space="preserve">2.  Pick 4–6 settings spanning the range you will actually print with (e.g. 2 / 4 / 6 / 8 / 10 V).</t>
  </si>
  <si>
    <t xml:space="preserve">3.  Per setting: pump into a tared bucket for a timed 60 s. Enter tare, bucket+mortar mass and the exact time.</t>
  </si>
  <si>
    <t xml:space="preserve">4.  Fresh density: fill a 1-litre cup, strike off, weigh → density block on the Calibration sheet.</t>
  </si>
  <si>
    <t xml:space="preserve">5.  flow_lpm = net mass [kg] / ρ [kg/l] / time [min] — computed automatically per row.</t>
  </si>
  <si>
    <t xml:space="preserve">6.  Fix any ⚠ in the Check column (flow must strictly increase).</t>
  </si>
  <si>
    <t xml:space="preserve">7.  When 'Valid for the slicer' says YES: copy the CSV Export block into</t>
  </si>
  <si>
    <t xml:space="preserve">     a .csv of your own (template: Lugworm/Resources/pump_calibration_placeholder.csv) and wire it into the pumpCalibCsv input.</t>
  </si>
  <si>
    <t xml:space="preserve">Repeat per material/mix — and per hose length if you change it.</t>
  </si>
  <si>
    <t xml:space="preserve">Slip factor η: after a calibrated print, η = V_planned / V_actual (weigh the part). Default 1.0.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</si>
</sst>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.000"/>
    <numFmt numFmtId="167" formatCode="0.0"/>
    <numFmt numFmtId="168" formatCode="0"/>
    <numFmt numFmtId="169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FFF2CC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Pump curve: setting → flow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"measured"</c:f>
              <c:strCache>
                <c:ptCount val="1"/>
                <c:pt idx="0">
                  <c:v>measured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circle"/>
            <c:size val="7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Calibration!$A$19:$A$26</c:f>
              <c:numCache>
                <c:formatCode>0.0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Calibration!$F$19:$F$26</c:f>
              <c:numCache>
                <c:formatCode>General</c:formatCode>
                <c:ptCount val="8"/>
              </c:numCache>
            </c:numRef>
          </c:yVal>
          <c:smooth val="1"/>
        </c:ser>
        <c:axId val="42846903"/>
        <c:axId val="43889610"/>
      </c:scatterChart>
      <c:valAx>
        <c:axId val="4284690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Setting [V]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889610"/>
        <c:crosses val="autoZero"/>
        <c:crossBetween val="midCat"/>
      </c:valAx>
      <c:valAx>
        <c:axId val="438896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Flow [l/min]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846903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17</xdr:col>
      <xdr:colOff>255960</xdr:colOff>
      <xdr:row>21</xdr:row>
      <xdr:rowOff>20160</xdr:rowOff>
    </xdr:to>
    <xdr:graphicFrame>
      <xdr:nvGraphicFramePr>
        <xdr:cNvPr id="1" name="Chart 1"/>
        <xdr:cNvGraphicFramePr/>
      </xdr:nvGraphicFramePr>
      <xdr:xfrm>
        <a:off x="10479240" y="60120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0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/>
      <c r="D4" s="4"/>
      <c r="E4" s="4"/>
    </row>
    <row r="5" customFormat="false" ht="15" hidden="false" customHeight="false" outlineLevel="0" collapsed="false">
      <c r="A5" s="3" t="s">
        <v>4</v>
      </c>
      <c r="B5" s="5"/>
      <c r="C5" s="5"/>
      <c r="D5" s="5"/>
      <c r="E5" s="5"/>
    </row>
    <row r="6" customFormat="false" ht="15" hidden="false" customHeight="false" outlineLevel="0" collapsed="false">
      <c r="A6" s="3" t="s">
        <v>5</v>
      </c>
      <c r="B6" s="6"/>
      <c r="C6" s="6"/>
      <c r="D6" s="6"/>
      <c r="E6" s="6"/>
    </row>
    <row r="7" customFormat="false" ht="15" hidden="false" customHeight="false" outlineLevel="0" collapsed="false">
      <c r="A7" s="3" t="s">
        <v>6</v>
      </c>
      <c r="B7" s="5"/>
      <c r="C7" s="5"/>
      <c r="D7" s="5"/>
      <c r="E7" s="5"/>
    </row>
    <row r="8" customFormat="false" ht="15" hidden="false" customHeight="false" outlineLevel="0" collapsed="false">
      <c r="A8" s="3" t="s">
        <v>7</v>
      </c>
      <c r="B8" s="5"/>
      <c r="C8" s="5"/>
      <c r="D8" s="5"/>
      <c r="E8" s="5"/>
    </row>
    <row r="9" customFormat="false" ht="15" hidden="false" customHeight="false" outlineLevel="0" collapsed="false">
      <c r="A9" s="3" t="s">
        <v>8</v>
      </c>
      <c r="B9" s="5"/>
      <c r="C9" s="5"/>
      <c r="D9" s="5"/>
      <c r="E9" s="5"/>
    </row>
    <row r="11" customFormat="false" ht="15" hidden="false" customHeight="false" outlineLevel="0" collapsed="false">
      <c r="A11" s="3" t="s">
        <v>9</v>
      </c>
    </row>
    <row r="12" customFormat="false" ht="15" hidden="false" customHeight="false" outlineLevel="0" collapsed="false">
      <c r="A12" s="7" t="s">
        <v>10</v>
      </c>
      <c r="B12" s="8" t="n">
        <v>1</v>
      </c>
    </row>
    <row r="13" customFormat="false" ht="15" hidden="false" customHeight="false" outlineLevel="0" collapsed="false">
      <c r="A13" s="7" t="s">
        <v>11</v>
      </c>
      <c r="B13" s="8"/>
    </row>
    <row r="14" customFormat="false" ht="15" hidden="false" customHeight="false" outlineLevel="0" collapsed="false">
      <c r="A14" s="7" t="s">
        <v>12</v>
      </c>
      <c r="B14" s="8"/>
    </row>
    <row r="15" customFormat="false" ht="15" hidden="false" customHeight="false" outlineLevel="0" collapsed="false">
      <c r="A15" s="3" t="s">
        <v>13</v>
      </c>
      <c r="B15" s="9" t="str">
        <f aca="false">IF(OR(B12="",B13="",B14="",B12=0),"",(B14-B13)/B12)</f>
        <v/>
      </c>
    </row>
    <row r="17" customFormat="false" ht="15" hidden="false" customHeight="false" outlineLevel="0" collapsed="false">
      <c r="A17" s="3" t="s">
        <v>14</v>
      </c>
    </row>
    <row r="18" customFormat="false" ht="26.85" hidden="false" customHeight="false" outlineLevel="0" collapsed="false">
      <c r="A18" s="10" t="s">
        <v>15</v>
      </c>
      <c r="B18" s="10" t="s">
        <v>16</v>
      </c>
      <c r="C18" s="10" t="s">
        <v>17</v>
      </c>
      <c r="D18" s="10" t="s">
        <v>18</v>
      </c>
      <c r="E18" s="10" t="s">
        <v>19</v>
      </c>
      <c r="F18" s="10" t="s">
        <v>20</v>
      </c>
      <c r="G18" s="10" t="s">
        <v>21</v>
      </c>
    </row>
    <row r="19" customFormat="false" ht="15" hidden="false" customHeight="false" outlineLevel="0" collapsed="false">
      <c r="A19" s="11" t="n">
        <v>2</v>
      </c>
      <c r="B19" s="8"/>
      <c r="C19" s="8"/>
      <c r="D19" s="12" t="n">
        <v>60</v>
      </c>
      <c r="E19" s="13" t="str">
        <f aca="false">IF(OR(B19="",C19=""),"",C19-B19)</f>
        <v/>
      </c>
      <c r="F19" s="9" t="str">
        <f aca="false">IF(OR(E19="",$B$15="",D19="",D19=0),"",E19/$B$15/(D19/60))</f>
        <v/>
      </c>
      <c r="G19" s="14" t="str">
        <f aca="false">IF(F19="","","OK")</f>
        <v/>
      </c>
    </row>
    <row r="20" customFormat="false" ht="15" hidden="false" customHeight="false" outlineLevel="0" collapsed="false">
      <c r="A20" s="11" t="n">
        <v>4</v>
      </c>
      <c r="B20" s="8"/>
      <c r="C20" s="8"/>
      <c r="D20" s="12" t="n">
        <v>60</v>
      </c>
      <c r="E20" s="13" t="str">
        <f aca="false">IF(OR(B20="",C20=""),"",C20-B20)</f>
        <v/>
      </c>
      <c r="F20" s="9" t="str">
        <f aca="false">IF(OR(E20="",$B$15="",D20="",D20=0),"",E20/$B$15/(D20/60))</f>
        <v/>
      </c>
      <c r="G20" s="14" t="str">
        <f aca="false">IF(F20="","",IF(AND(F19&lt;&gt;"",F20&lt;=F19),"⚠ flow not &gt; previous row","OK"))</f>
        <v/>
      </c>
    </row>
    <row r="21" customFormat="false" ht="15" hidden="false" customHeight="false" outlineLevel="0" collapsed="false">
      <c r="A21" s="11" t="n">
        <v>6</v>
      </c>
      <c r="B21" s="8"/>
      <c r="C21" s="8"/>
      <c r="D21" s="12" t="n">
        <v>60</v>
      </c>
      <c r="E21" s="13" t="str">
        <f aca="false">IF(OR(B21="",C21=""),"",C21-B21)</f>
        <v/>
      </c>
      <c r="F21" s="9" t="str">
        <f aca="false">IF(OR(E21="",$B$15="",D21="",D21=0),"",E21/$B$15/(D21/60))</f>
        <v/>
      </c>
      <c r="G21" s="14" t="str">
        <f aca="false">IF(F21="","",IF(AND(F20&lt;&gt;"",F21&lt;=F20),"⚠ flow not &gt; previous row","OK"))</f>
        <v/>
      </c>
    </row>
    <row r="22" customFormat="false" ht="15" hidden="false" customHeight="false" outlineLevel="0" collapsed="false">
      <c r="A22" s="11" t="n">
        <v>8</v>
      </c>
      <c r="B22" s="8"/>
      <c r="C22" s="8"/>
      <c r="D22" s="12" t="n">
        <v>60</v>
      </c>
      <c r="E22" s="13" t="str">
        <f aca="false">IF(OR(B22="",C22=""),"",C22-B22)</f>
        <v/>
      </c>
      <c r="F22" s="9" t="str">
        <f aca="false">IF(OR(E22="",$B$15="",D22="",D22=0),"",E22/$B$15/(D22/60))</f>
        <v/>
      </c>
      <c r="G22" s="14" t="str">
        <f aca="false">IF(F22="","",IF(AND(F21&lt;&gt;"",F22&lt;=F21),"⚠ flow not &gt; previous row","OK"))</f>
        <v/>
      </c>
    </row>
    <row r="23" customFormat="false" ht="15" hidden="false" customHeight="false" outlineLevel="0" collapsed="false">
      <c r="A23" s="11" t="n">
        <v>10</v>
      </c>
      <c r="B23" s="8"/>
      <c r="C23" s="8"/>
      <c r="D23" s="12" t="n">
        <v>60</v>
      </c>
      <c r="E23" s="13" t="str">
        <f aca="false">IF(OR(B23="",C23=""),"",C23-B23)</f>
        <v/>
      </c>
      <c r="F23" s="9" t="str">
        <f aca="false">IF(OR(E23="",$B$15="",D23="",D23=0),"",E23/$B$15/(D23/60))</f>
        <v/>
      </c>
      <c r="G23" s="14" t="str">
        <f aca="false">IF(F23="","",IF(AND(F22&lt;&gt;"",F23&lt;=F22),"⚠ flow not &gt; previous row","OK"))</f>
        <v/>
      </c>
    </row>
    <row r="24" customFormat="false" ht="15" hidden="false" customHeight="false" outlineLevel="0" collapsed="false">
      <c r="A24" s="11"/>
      <c r="B24" s="8"/>
      <c r="C24" s="8"/>
      <c r="D24" s="12"/>
      <c r="E24" s="13" t="str">
        <f aca="false">IF(OR(B24="",C24=""),"",C24-B24)</f>
        <v/>
      </c>
      <c r="F24" s="9" t="str">
        <f aca="false">IF(OR(E24="",$B$15="",D24="",D24=0),"",E24/$B$15/(D24/60))</f>
        <v/>
      </c>
      <c r="G24" s="14" t="str">
        <f aca="false">IF(F24="","",IF(AND(F23&lt;&gt;"",F24&lt;=F23),"⚠ flow not &gt; previous row","OK"))</f>
        <v/>
      </c>
    </row>
    <row r="25" customFormat="false" ht="15" hidden="false" customHeight="false" outlineLevel="0" collapsed="false">
      <c r="A25" s="11"/>
      <c r="B25" s="8"/>
      <c r="C25" s="8"/>
      <c r="D25" s="12"/>
      <c r="E25" s="13" t="str">
        <f aca="false">IF(OR(B25="",C25=""),"",C25-B25)</f>
        <v/>
      </c>
      <c r="F25" s="9" t="str">
        <f aca="false">IF(OR(E25="",$B$15="",D25="",D25=0),"",E25/$B$15/(D25/60))</f>
        <v/>
      </c>
      <c r="G25" s="14" t="str">
        <f aca="false">IF(F25="","",IF(AND(F24&lt;&gt;"",F25&lt;=F24),"⚠ flow not &gt; previous row","OK"))</f>
        <v/>
      </c>
    </row>
    <row r="26" customFormat="false" ht="15" hidden="false" customHeight="false" outlineLevel="0" collapsed="false">
      <c r="A26" s="11"/>
      <c r="B26" s="8"/>
      <c r="C26" s="8"/>
      <c r="D26" s="12"/>
      <c r="E26" s="13" t="str">
        <f aca="false">IF(OR(B26="",C26=""),"",C26-B26)</f>
        <v/>
      </c>
      <c r="F26" s="9" t="str">
        <f aca="false">IF(OR(E26="",$B$15="",D26="",D26=0),"",E26/$B$15/(D26/60))</f>
        <v/>
      </c>
      <c r="G26" s="14" t="str">
        <f aca="false">IF(F26="","",IF(AND(F25&lt;&gt;"",F26&lt;=F25),"⚠ flow not &gt; previous row","OK"))</f>
        <v/>
      </c>
    </row>
    <row r="28" customFormat="false" ht="15" hidden="false" customHeight="false" outlineLevel="0" collapsed="false">
      <c r="A28" s="3" t="s">
        <v>22</v>
      </c>
    </row>
    <row r="29" customFormat="false" ht="15" hidden="false" customHeight="false" outlineLevel="0" collapsed="false">
      <c r="A29" s="7" t="s">
        <v>23</v>
      </c>
      <c r="B29" s="15" t="n">
        <f aca="false">COUNT(F19:F26)</f>
        <v>0</v>
      </c>
    </row>
    <row r="30" customFormat="false" ht="15" hidden="false" customHeight="false" outlineLevel="0" collapsed="false">
      <c r="A30" s="7" t="s">
        <v>24</v>
      </c>
      <c r="B30" s="16" t="str">
        <f aca="false">IF(COUNT(F19:F26)&lt;2,"NO — need ≥ 2 measured points",IF(COUNTIF(G19:G26,"⚠ flow not &gt; previous row")&gt;0,"NO — flow must increase with setting","YES"))</f>
        <v>NO — need ≥ 2 measured points</v>
      </c>
      <c r="C30" s="16"/>
      <c r="D30" s="16"/>
      <c r="E30" s="16"/>
    </row>
    <row r="31" customFormat="false" ht="15" hidden="false" customHeight="false" outlineLevel="0" collapsed="false">
      <c r="A31" s="7" t="s">
        <v>25</v>
      </c>
      <c r="B31" s="17" t="str">
        <f aca="false">IF(COUNT(F19:F26)&lt;2,"—",SUBSTITUTE(TEXT(MIN(F19:F26),"0.000"),",",".")&amp;" – "&amp;SUBSTITUTE(TEXT(MAX(F19:F26),"0.000"),",","."))</f>
        <v>—</v>
      </c>
    </row>
    <row r="33" customFormat="false" ht="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7" t="s">
        <v>27</v>
      </c>
      <c r="B34" s="8"/>
      <c r="D34" s="18" t="s">
        <v>28</v>
      </c>
      <c r="E34" s="19" t="n">
        <f aca="false">IF(OR(B34="",COUNT(F19:F26)&lt;2),1,MIN(MAX(COUNTIF(F19:F26,"&lt;="&amp;B34),1),COUNT(F19:F26)-1))</f>
        <v>1</v>
      </c>
    </row>
    <row r="35" customFormat="false" ht="15" hidden="false" customHeight="false" outlineLevel="0" collapsed="false">
      <c r="A35" s="3" t="s">
        <v>29</v>
      </c>
      <c r="B35" s="20" t="str">
        <f aca="false">IF(OR(B34="",COUNT(F19:F26)&lt;2),"—",IF(OR(B34&lt;MIN(F19:F26),B34&gt;MAX(F19:F26)),"outside calibrated range — no extrapolation",IFERROR(INDEX(A19:A26,E34)+(B34-INDEX(F19:F26,E34))/(INDEX(F19:F26,E34+1)-INDEX(F19:F26,E34))*(INDEX(A19:A26,E34+1)-INDEX(A19:A26,E34)),"check table — flow not increasing")))</f>
        <v>—</v>
      </c>
    </row>
    <row r="36" customFormat="false" ht="15" hidden="false" customHeight="false" outlineLevel="0" collapsed="false">
      <c r="A36" s="2" t="s">
        <v>30</v>
      </c>
    </row>
  </sheetData>
  <mergeCells count="7">
    <mergeCell ref="B4:E4"/>
    <mergeCell ref="B5:E5"/>
    <mergeCell ref="B6:E6"/>
    <mergeCell ref="B7:E7"/>
    <mergeCell ref="B8:E8"/>
    <mergeCell ref="B9:E9"/>
    <mergeCell ref="B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3" t="s">
        <v>31</v>
      </c>
    </row>
    <row r="3" customFormat="false" ht="15" hidden="false" customHeight="false" outlineLevel="0" collapsed="false">
      <c r="A3" s="21" t="str">
        <f aca="false">"# Pump calibration table — generated from pump_calibration_placeholder.xlsx"</f>
        <v># Pump calibration table — generated from pump_calibration_placeholder.xlsx</v>
      </c>
    </row>
    <row r="4" customFormat="false" ht="15" hidden="false" customHeight="false" outlineLevel="0" collapsed="false">
      <c r="A4" s="21" t="str">
        <f aca="false">"# pump:      "&amp;IF(Calibration!B4="","NEEDS_INPUT",Calibration!B4)</f>
        <v># pump:      NEEDS_INPUT</v>
      </c>
    </row>
    <row r="5" customFormat="false" ht="15" hidden="false" customHeight="false" outlineLevel="0" collapsed="false">
      <c r="A5" s="21" t="str">
        <f aca="false">"# material:  "&amp;IF(Calibration!B5="","NEEDS_INPUT",Calibration!B5)</f>
        <v># material:  NEEDS_INPUT</v>
      </c>
    </row>
    <row r="6" customFormat="false" ht="15" hidden="false" customHeight="false" outlineLevel="0" collapsed="false">
      <c r="A6" s="21" t="str">
        <f aca="false">"# date:      "&amp;IF(Calibration!B6="","NEEDS_INPUT",TEXT(Calibration!B6,"yyyy-mm-dd"))</f>
        <v># date:      NEEDS_INPUT</v>
      </c>
    </row>
    <row r="7" customFormat="false" ht="15" hidden="false" customHeight="false" outlineLevel="0" collapsed="false">
      <c r="A7" s="21" t="str">
        <f aca="false">"# operator:  "&amp;IF(Calibration!B7="","NEEDS_INPUT",Calibration!B7)</f>
        <v># operator:  NEEDS_INPUT</v>
      </c>
    </row>
    <row r="8" customFormat="false" ht="15" hidden="false" customHeight="false" outlineLevel="0" collapsed="false">
      <c r="A8" s="21" t="str">
        <f aca="false">"# hose:      "&amp;IF(Calibration!B8="","NEEDS_INPUT",SUBSTITUTE(TEXT(Calibration!B8,"0.#"),",",".")&amp;" m")</f>
        <v># hose:      NEEDS_INPUT</v>
      </c>
    </row>
    <row r="9" customFormat="false" ht="15" hidden="false" customHeight="false" outlineLevel="0" collapsed="false">
      <c r="A9" s="21" t="str">
        <f aca="false">"# density:   "&amp;IF(Calibration!B15="","NEEDS_INPUT",SUBSTITUTE(TEXT(Calibration!B15,"0.000"),",",".")&amp;" kg/l fresh")</f>
        <v># density:   NEEDS_INPUT</v>
      </c>
    </row>
    <row r="10" customFormat="false" ht="15" hidden="false" customHeight="false" outlineLevel="0" collapsed="false">
      <c r="A10" s="21" t="str">
        <f aca="false">"# columns: setting,flow_lpm"</f>
        <v># columns: setting,flow_lpm</v>
      </c>
    </row>
    <row r="11" customFormat="false" ht="15" hidden="false" customHeight="false" outlineLevel="0" collapsed="false">
      <c r="A11" s="21" t="str">
        <f aca="false">IF(Calibration!F19="","",SUBSTITUTE(TEXT(Calibration!A19,"0.0##"),",",".")&amp;","&amp;SUBSTITUTE(TEXT(Calibration!F19,"0.000"),",","."))</f>
        <v/>
      </c>
    </row>
    <row r="12" customFormat="false" ht="15" hidden="false" customHeight="false" outlineLevel="0" collapsed="false">
      <c r="A12" s="21" t="str">
        <f aca="false">IF(Calibration!F20="","",SUBSTITUTE(TEXT(Calibration!A20,"0.0##"),",",".")&amp;","&amp;SUBSTITUTE(TEXT(Calibration!F20,"0.000"),",","."))</f>
        <v/>
      </c>
    </row>
    <row r="13" customFormat="false" ht="15" hidden="false" customHeight="false" outlineLevel="0" collapsed="false">
      <c r="A13" s="21" t="str">
        <f aca="false">IF(Calibration!F21="","",SUBSTITUTE(TEXT(Calibration!A21,"0.0##"),",",".")&amp;","&amp;SUBSTITUTE(TEXT(Calibration!F21,"0.000"),",","."))</f>
        <v/>
      </c>
    </row>
    <row r="14" customFormat="false" ht="15" hidden="false" customHeight="false" outlineLevel="0" collapsed="false">
      <c r="A14" s="21" t="str">
        <f aca="false">IF(Calibration!F22="","",SUBSTITUTE(TEXT(Calibration!A22,"0.0##"),",",".")&amp;","&amp;SUBSTITUTE(TEXT(Calibration!F22,"0.000"),",","."))</f>
        <v/>
      </c>
    </row>
    <row r="15" customFormat="false" ht="15" hidden="false" customHeight="false" outlineLevel="0" collapsed="false">
      <c r="A15" s="21" t="str">
        <f aca="false">IF(Calibration!F23="","",SUBSTITUTE(TEXT(Calibration!A23,"0.0##"),",",".")&amp;","&amp;SUBSTITUTE(TEXT(Calibration!F23,"0.000"),",","."))</f>
        <v/>
      </c>
    </row>
    <row r="16" customFormat="false" ht="15" hidden="false" customHeight="false" outlineLevel="0" collapsed="false">
      <c r="A16" s="21" t="str">
        <f aca="false">IF(Calibration!F24="","",SUBSTITUTE(TEXT(Calibration!A24,"0.0##"),",",".")&amp;","&amp;SUBSTITUTE(TEXT(Calibration!F24,"0.000"),",","."))</f>
        <v/>
      </c>
    </row>
    <row r="17" customFormat="false" ht="15" hidden="false" customHeight="false" outlineLevel="0" collapsed="false">
      <c r="A17" s="21" t="str">
        <f aca="false">IF(Calibration!F25="","",SUBSTITUTE(TEXT(Calibration!A25,"0.0##"),",",".")&amp;","&amp;SUBSTITUTE(TEXT(Calibration!F25,"0.000"),",","."))</f>
        <v/>
      </c>
    </row>
    <row r="18" customFormat="false" ht="15" hidden="false" customHeight="false" outlineLevel="0" collapsed="false">
      <c r="A18" s="21" t="str">
        <f aca="false">IF(Calibration!F26="","",SUBSTITUTE(TEXT(Calibration!A26,"0.0##"),",",".")&amp;","&amp;SUBSTITUTE(TEXT(Calibration!F26,"0.000"),",","."))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22" t="s">
        <v>32</v>
      </c>
    </row>
    <row r="2" customFormat="false" ht="15" hidden="false" customHeight="false" outlineLevel="0" collapsed="false">
      <c r="A2" s="21" t="s">
        <v>33</v>
      </c>
    </row>
    <row r="3" customFormat="false" ht="15" hidden="false" customHeight="false" outlineLevel="0" collapsed="false">
      <c r="A3" s="21" t="s">
        <v>34</v>
      </c>
    </row>
    <row r="4" customFormat="false" ht="15" hidden="false" customHeight="false" outlineLevel="0" collapsed="false">
      <c r="A4" s="21" t="s">
        <v>35</v>
      </c>
    </row>
    <row r="5" customFormat="false" ht="15" hidden="false" customHeight="false" outlineLevel="0" collapsed="false">
      <c r="A5" s="21" t="s">
        <v>36</v>
      </c>
    </row>
    <row r="6" customFormat="false" ht="15" hidden="false" customHeight="false" outlineLevel="0" collapsed="false">
      <c r="A6" s="21" t="s">
        <v>37</v>
      </c>
    </row>
    <row r="7" customFormat="false" ht="15" hidden="false" customHeight="false" outlineLevel="0" collapsed="false">
      <c r="A7" s="21" t="s">
        <v>38</v>
      </c>
    </row>
    <row r="8" customFormat="false" ht="15" hidden="false" customHeight="false" outlineLevel="0" collapsed="false">
      <c r="A8" s="21" t="s">
        <v>39</v>
      </c>
    </row>
    <row r="9" customFormat="false" ht="15" hidden="false" customHeight="false" outlineLevel="0" collapsed="false">
      <c r="A9" s="21" t="s">
        <v>40</v>
      </c>
    </row>
    <row r="10" customFormat="false" ht="15" hidden="false" customHeight="false" outlineLevel="0" collapsed="false">
      <c r="A10" s="21"/>
    </row>
    <row r="11" customFormat="false" ht="15" hidden="false" customHeight="false" outlineLevel="0" collapsed="false">
      <c r="A11" s="21" t="s">
        <v>41</v>
      </c>
    </row>
    <row r="12" customFormat="false" ht="15" hidden="false" customHeight="false" outlineLevel="0" collapsed="false">
      <c r="A12" s="21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2026-07-06T15:18:54Z</dcterms:created>
  <dc:creator>openpyxl</dc:creator>
  <dc:description/>
  <dc:language>en-US</dc:language>
  <cp:lastModifiedBy/>
  <dcterms:modified xsi:type="dcterms:W3CDTF">2026-07-06T17:18:57Z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